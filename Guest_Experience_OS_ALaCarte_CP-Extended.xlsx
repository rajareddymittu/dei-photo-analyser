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shok\Desktop\DEIGLOBAL\Initiatives\Customer shared\"/>
    </mc:Choice>
  </mc:AlternateContent>
  <xr:revisionPtr revIDLastSave="0" documentId="13_ncr:1_{3C34E6AB-08D9-40BC-A671-6CDEF4BD380D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README" sheetId="1" r:id="rId1"/>
    <sheet name="Recurring Costs" sheetId="12" r:id="rId2"/>
    <sheet name="Shared Hardware" sheetId="6" r:id="rId3"/>
    <sheet name="Features Cost Calculator" sheetId="9" r:id="rId4"/>
    <sheet name="ST-Components" sheetId="14" r:id="rId5"/>
    <sheet name="IA-Components" sheetId="15" r:id="rId6"/>
    <sheet name="Delivery Timelines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9" l="1"/>
  <c r="G49" i="9"/>
  <c r="G48" i="9"/>
  <c r="G47" i="9"/>
  <c r="G46" i="9"/>
  <c r="G45" i="9"/>
  <c r="G44" i="9"/>
  <c r="G43" i="9"/>
  <c r="G42" i="9"/>
  <c r="K52" i="9"/>
  <c r="J52" i="9"/>
  <c r="I52" i="9"/>
  <c r="G52" i="9"/>
  <c r="F52" i="9"/>
</calcChain>
</file>

<file path=xl/sharedStrings.xml><?xml version="1.0" encoding="utf-8"?>
<sst xmlns="http://schemas.openxmlformats.org/spreadsheetml/2006/main" count="262" uniqueCount="198">
  <si>
    <t>Guest Experience OS — À La Carte Commercials</t>
  </si>
  <si>
    <t>How to use this workbook</t>
  </si>
  <si>
    <t>IMPORTANT — À la carte features (C.x, D.x) are priced as MARGINAL costs: what each feature adds ON TOP of the foundations. Pick any combination in the Calculator and the total will match the Full 12-Month Program when everything is selected. Foundations (B.1, B.2, B.3) are mandatory — they're pre-set to Qty=1 in the Calculator.</t>
  </si>
  <si>
    <t>Recurring costs (license/SaaS, ongoing compute) are quoted in $/month. Hardware is one-time per venue.</t>
  </si>
  <si>
    <t>MANDATORY vs OPTIONAL — important</t>
  </si>
  <si>
    <t>Rows highlighted in PINK are mandatory base items — you can't remove them from the menu. They're the platform foundations every feature stands on. Rows highlighted in GREEN are optional à la carte features the customer can pick or skip.</t>
  </si>
  <si>
    <t>If you pick a Smart Ticketing feature (C.x), the Ticketing Foundation (B.1) is automatic. If you pick a face-based feature, the Anonymization Foundation (B.2) is automatic. Etc.</t>
  </si>
  <si>
    <t>Sheets</t>
  </si>
  <si>
    <t>• Shared Hardware — venue-side kit. Don't double-count shared items.</t>
  </si>
  <si>
    <t>• Recurring Costs — license/SaaS subscriptions per service.</t>
  </si>
  <si>
    <t>Assumptions</t>
  </si>
  <si>
    <t>• Hardware costs are mid-market estimates; final pricing depends on volume / vendor / country.</t>
  </si>
  <si>
    <t>• Sales costs, customer-side compliance review, hardware support contracts, taxes — NOT included.</t>
  </si>
  <si>
    <t>Code</t>
  </si>
  <si>
    <t>Type</t>
  </si>
  <si>
    <t>B.1</t>
  </si>
  <si>
    <t>Mandatory base</t>
  </si>
  <si>
    <t>Ticketing Foundation</t>
  </si>
  <si>
    <t>B.2</t>
  </si>
  <si>
    <t>B.3</t>
  </si>
  <si>
    <t>C.1</t>
  </si>
  <si>
    <t>Optional feature</t>
  </si>
  <si>
    <t>Face-as-Ticket Entry</t>
  </si>
  <si>
    <t>C.2</t>
  </si>
  <si>
    <t>Auto-Bundled Photo Pack</t>
  </si>
  <si>
    <t>C.3</t>
  </si>
  <si>
    <t>Virtual Queue + AI Wait Prediction</t>
  </si>
  <si>
    <t>C.4</t>
  </si>
  <si>
    <t>Group / Family Clustering</t>
  </si>
  <si>
    <t>C.5</t>
  </si>
  <si>
    <t>AI Upsell at Checkout</t>
  </si>
  <si>
    <t>C.6</t>
  </si>
  <si>
    <t>Lost-Child Reunification</t>
  </si>
  <si>
    <t>C.7</t>
  </si>
  <si>
    <t>WhatsApp Ticket Concierge</t>
  </si>
  <si>
    <t>C.8</t>
  </si>
  <si>
    <t>Geo-Fenced Offers</t>
  </si>
  <si>
    <t>C.9</t>
  </si>
  <si>
    <t>Ticket ↔ Photo Cross-Promo</t>
  </si>
  <si>
    <t>C.10</t>
  </si>
  <si>
    <t>Dynamic Pricing</t>
  </si>
  <si>
    <t>C.11</t>
  </si>
  <si>
    <t>Repeat-Visit Prediction &amp; Annual-Pass Targeting</t>
  </si>
  <si>
    <t>C.12</t>
  </si>
  <si>
    <t>Real-Time Admission Dashboard</t>
  </si>
  <si>
    <t>C.13</t>
  </si>
  <si>
    <t>Reseller Channel (OTAs / Hotels)</t>
  </si>
  <si>
    <t>D.1</t>
  </si>
  <si>
    <t>Optional channel</t>
  </si>
  <si>
    <t>Channel A: Venue Analytics SaaS</t>
  </si>
  <si>
    <t>D.2</t>
  </si>
  <si>
    <t>Channel B: Sponsors and Brands</t>
  </si>
  <si>
    <t>D.3</t>
  </si>
  <si>
    <t>Channel C: Retail / Hospitality B2B Datasets</t>
  </si>
  <si>
    <t>D.4</t>
  </si>
  <si>
    <t>Channel D: Insurance / Actuarial Datasets</t>
  </si>
  <si>
    <t>D.5</t>
  </si>
  <si>
    <t>Channel E: Tourism / Destination Marketing</t>
  </si>
  <si>
    <t>D.6</t>
  </si>
  <si>
    <t>Channel F: DEI Retail Extension</t>
  </si>
  <si>
    <t>Shared Hardware — count once per venue</t>
  </si>
  <si>
    <t>Hardware</t>
  </si>
  <si>
    <t>Unit cost HIGH</t>
  </si>
  <si>
    <t>Qty per venue (typical)</t>
  </si>
  <si>
    <t>Used by</t>
  </si>
  <si>
    <t>Notes</t>
  </si>
  <si>
    <t>Depth/IR gate camera</t>
  </si>
  <si>
    <t>4 per gate</t>
  </si>
  <si>
    <t>C.1, C.2, C.4, C.6, D.1 (facial-signal analytics)</t>
  </si>
  <si>
    <t>Don't double-count. Bought once, shared by face-related features.</t>
  </si>
  <si>
    <t>Camera installation + cabling</t>
  </si>
  <si>
    <t>1 per venue (one-time)</t>
  </si>
  <si>
    <t>Any camera-using feature</t>
  </si>
  <si>
    <t>One-time setup.</t>
  </si>
  <si>
    <t>Edge compute box per venue</t>
  </si>
  <si>
    <t>0–1 per venue</t>
  </si>
  <si>
    <t>Optional for GPU-heavy features</t>
  </si>
  <si>
    <t>Reduces cloud GPU cost at high-volume venues.</t>
  </si>
  <si>
    <t>Touch kiosk (with integrated printer)</t>
  </si>
  <si>
    <t>1+ per venue</t>
  </si>
  <si>
    <t>D.6 (Retail Extension); optional self-service ticketing</t>
  </si>
  <si>
    <t>3–5 year refresh cycle.</t>
  </si>
  <si>
    <t>Print partner one-time setup</t>
  </si>
  <si>
    <t>1 per region</t>
  </si>
  <si>
    <t>Per-region one-time.</t>
  </si>
  <si>
    <t>Digital signage screen</t>
  </si>
  <si>
    <t>2–4 per venue</t>
  </si>
  <si>
    <t>D.2 (Sponsor signage)</t>
  </si>
  <si>
    <t>Includes mounting + CMS integration.</t>
  </si>
  <si>
    <t>Ops room admin screen</t>
  </si>
  <si>
    <t>1 per ops room</t>
  </si>
  <si>
    <t>C.12 (Real-Time Admin Dashboard)</t>
  </si>
  <si>
    <t>Standard 4K display.</t>
  </si>
  <si>
    <t>License / SaaS — recurring monthly costs (per venue unless noted)</t>
  </si>
  <si>
    <t>Service</t>
  </si>
  <si>
    <t>$/month LOW</t>
  </si>
  <si>
    <t>$/month HIGH</t>
  </si>
  <si>
    <t>WhatsApp Business API + Twilio</t>
  </si>
  <si>
    <t>Volume-based</t>
  </si>
  <si>
    <t>LLM tokens (OpenAI / Anthropic)</t>
  </si>
  <si>
    <t>C.5, C.7, C.11</t>
  </si>
  <si>
    <t>Per-token usage</t>
  </si>
  <si>
    <t>Weather API (paid tier)</t>
  </si>
  <si>
    <t>C.3, C.10</t>
  </si>
  <si>
    <t>OpenWeatherMap / Weatherstack</t>
  </si>
  <si>
    <t>AR toolkit</t>
  </si>
  <si>
    <t>Workspace pricing</t>
  </si>
  <si>
    <t>Data clean-room SaaS</t>
  </si>
  <si>
    <t>For compliant data licensing</t>
  </si>
  <si>
    <t>Compliance management (Vanta, Drata)</t>
  </si>
  <si>
    <t>Camera SDK / face matching SaaS (optional)</t>
  </si>
  <si>
    <t>In-house ML can substitute</t>
  </si>
  <si>
    <t>Print partner per-unit fees</t>
  </si>
  <si>
    <t>Revenue share, not fixed monthly</t>
  </si>
  <si>
    <t>Already paid by DEI — no incremental cost when reused</t>
  </si>
  <si>
    <t>• Azure infrastructure (Cognitive Search, Cosmos, etc.)</t>
  </si>
  <si>
    <t>• Commercetools (license + transaction fees)</t>
  </si>
  <si>
    <t>• Drupal (hosting + license)</t>
  </si>
  <si>
    <t>• Plainly (video editing)</t>
  </si>
  <si>
    <t>• Cloudflare push notifications</t>
  </si>
  <si>
    <t>Build-Your-Own Calculator — set Qty=1 to include, 0 to exclude. Foundations are mandatory if you pick anything that needs them.</t>
  </si>
  <si>
    <t>Qty</t>
  </si>
  <si>
    <t>Item</t>
  </si>
  <si>
    <t>Section</t>
  </si>
  <si>
    <t>Foundations</t>
  </si>
  <si>
    <t>Anonymization Foundation</t>
  </si>
  <si>
    <t>Smart Ticketing</t>
  </si>
  <si>
    <t>TOTALS (selected)</t>
  </si>
  <si>
    <t>How to use:</t>
  </si>
  <si>
    <t>1. Set Qty=1 in column A for each feature you want; 0 to exclude. Foundations are pre-set to 1 because they're mandatory.</t>
  </si>
  <si>
    <t>2. Totals row sums build, license, hardware, and compute costs. Timeline is MAX (assumes parallel team).</t>
  </si>
  <si>
    <t>Search &amp; Analytics Foundation for both Ticketing and Analytics</t>
  </si>
  <si>
    <t>Timeline weeks</t>
  </si>
  <si>
    <t>License $/mo (Low)</t>
  </si>
  <si>
    <t>HW $/venue (High)</t>
  </si>
  <si>
    <t>Compute $/mo (Low)</t>
  </si>
  <si>
    <t>3. Hardware totals are PER VENUE — multiply by number of venues separately.</t>
  </si>
  <si>
    <t>4. PINK rows = mandatory base. GREEN rows = optional. Removing a foundation while features depend on it will undercount.</t>
  </si>
  <si>
    <t>Image Analytics</t>
  </si>
  <si>
    <t>Timeline columns show calendar weeks the feature takes to ship. Multiple features ship in parallell</t>
  </si>
  <si>
    <t>• Features Cost Calculator — set Qty=1 to include, 0 to exclude. Totals + engineer-months at the bottom.</t>
  </si>
  <si>
    <t>• Timeline Planning Guide— Gantt-style view of delivery durations per item.</t>
  </si>
  <si>
    <t>• The plan is to utilize the existing DEI platform API's of commercetools and image detection etc mentioned in the recurring costs sheet</t>
  </si>
  <si>
    <t>• Low/High ranges reflect cost range.</t>
  </si>
  <si>
    <t>Core ticketing-service (Spring Boot + PostgreSQL slot inventory)</t>
  </si>
  <si>
    <t>New microservice alongside the existing 16; reuses DEI Spring Boot deploy pipeline</t>
  </si>
  <si>
    <t>Commercetools ticket product type + cart extensions</t>
  </si>
  <si>
    <t>Extends existing Commercetools tenant</t>
  </si>
  <si>
    <t>Coupon / cross-promo wiring</t>
  </si>
  <si>
    <t>Reuses existing CouponService</t>
  </si>
  <si>
    <t>Payment integration extensions</t>
  </si>
  <si>
    <t>Adyen path extensions for ticket SKUs</t>
  </si>
  <si>
    <t>Venue admin (multi-tenant config) UI</t>
  </si>
  <si>
    <t>Drupal admin extension for ticketing config</t>
  </si>
  <si>
    <t>QR / NFC fallback endpoint</t>
  </si>
  <si>
    <t>Small QR endpoint + existing NFC layer</t>
  </si>
  <si>
    <t>Face-blur pipeline at ingest</t>
  </si>
  <si>
    <t>New ML pipeline sibling to existing background removal</t>
  </si>
  <si>
    <t>Metadata stripping (EXIF + PII)</t>
  </si>
  <si>
    <t>Small utility on existing ingest</t>
  </si>
  <si>
    <t>Differential privacy wrapper on aggregations</t>
  </si>
  <si>
    <t>DP library wrapping existing aggregation jobs</t>
  </si>
  <si>
    <t>Consent registry (PostgreSQL schema + state machine)</t>
  </si>
  <si>
    <t>New schema in existing PostgreSQL</t>
  </si>
  <si>
    <t>Hash-chained audit log</t>
  </si>
  <si>
    <t>New collection in existing Cosmos Mongo</t>
  </si>
  <si>
    <t>Re-identification red-team automation</t>
  </si>
  <si>
    <t>Quarterly red-team job</t>
  </si>
  <si>
    <t>Anonymized data lake (Parquet on ADLS Gen2)</t>
  </si>
  <si>
    <t>New container + partitioning on existing ADLS</t>
  </si>
  <si>
    <t>Feature store (vector embeddings + attributes)</t>
  </si>
  <si>
    <t>Extend Azure AI Search + asset index with attribute / embedding columns</t>
  </si>
  <si>
    <t>Aggregation + rollup jobs (heatmap / dwell / demographics)</t>
  </si>
  <si>
    <t>New jobs on existing platform</t>
  </si>
  <si>
    <t>Analytics API tier (APIM product)</t>
  </si>
  <si>
    <t>New APIM product on existing 5 app-tier APIMs</t>
  </si>
  <si>
    <t>New build</t>
  </si>
  <si>
    <t>E.1</t>
  </si>
  <si>
    <t>Apparel brand + style recognition</t>
  </si>
  <si>
    <t>E.2</t>
  </si>
  <si>
    <t>Optional channel — bundle</t>
  </si>
  <si>
    <t>Accessory recognition (parent row)</t>
  </si>
  <si>
    <t>E.2.1</t>
  </si>
  <si>
    <t>Sub-category</t>
  </si>
  <si>
    <t>— Sunglasses</t>
  </si>
  <si>
    <t>E.2.2</t>
  </si>
  <si>
    <t>— Hats / headwear</t>
  </si>
  <si>
    <t>E.2.3</t>
  </si>
  <si>
    <t>— Bags / handbags / backpacks</t>
  </si>
  <si>
    <t>E.2.4</t>
  </si>
  <si>
    <t>— Watches</t>
  </si>
  <si>
    <t>E.2.5</t>
  </si>
  <si>
    <t>— Jewelry (necklace / earrings / rings)</t>
  </si>
  <si>
    <t>E.3</t>
  </si>
  <si>
    <t>Behavioral context (group composition + activity + dwell pose)</t>
  </si>
  <si>
    <t>E.4</t>
  </si>
  <si>
    <t>Brand visibility audit (logos in image stream)</t>
  </si>
  <si>
    <t>Build  (Reuse DEI) $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</si>
</sst>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2" x14ac:knownFonts="1">
    <font>
      <sz val="11"/>
      <color theme="1"/>
      <name val="Calibri"/>
      <family val="2"/>
      <scheme val="minor"/>
    </font>
    <font>
      <b/>
      <sz val="16"/>
      <color rgb="FF000000"/>
      <name val="Poppins"/>
    </font>
    <font>
      <sz val="11"/>
      <color rgb="FF000000"/>
      <name val="Poppins"/>
    </font>
    <font>
      <b/>
      <sz val="12"/>
      <color rgb="FF000000"/>
      <name val="Poppins"/>
    </font>
    <font>
      <sz val="10"/>
      <color rgb="FF000000"/>
      <name val="Poppins"/>
    </font>
    <font>
      <b/>
      <sz val="14"/>
      <color rgb="FF000000"/>
      <name val="Poppins"/>
    </font>
    <font>
      <b/>
      <sz val="11"/>
      <color rgb="FFFFFFFF"/>
      <name val="Poppins"/>
    </font>
    <font>
      <b/>
      <sz val="11"/>
      <color rgb="FF000000"/>
      <name val="Poppins"/>
    </font>
    <font>
      <b/>
      <sz val="10"/>
      <color rgb="FF000000"/>
      <name val="Poppins"/>
    </font>
    <font>
      <b/>
      <sz val="9"/>
      <color rgb="FFFFFFFF"/>
      <name val="Poppins"/>
    </font>
    <font>
      <sz val="9"/>
      <color theme="1"/>
      <name val="Calibri"/>
      <family val="2"/>
      <scheme val="minor"/>
    </font>
    <font>
      <sz val="1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CE7F3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7" fillId="0" borderId="0" xfId="0" applyFont="1"/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1" fontId="4" fillId="3" borderId="1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164" fontId="7" fillId="4" borderId="1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vertical="center" wrapText="1"/>
    </xf>
    <xf numFmtId="1" fontId="4" fillId="5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7" fillId="4" borderId="0" xfId="0" applyFont="1" applyFill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0" xfId="0" applyFont="1"/>
    <xf numFmtId="0" fontId="11" fillId="0" borderId="2" xfId="0" applyFont="1" applyBorder="1" applyAlignment="1">
      <alignment vertical="top" wrapText="1"/>
    </xf>
    <xf numFmtId="0" fontId="5" fillId="0" borderId="0" xfId="0" applyFont="1"/>
    <xf numFmtId="0" fontId="0" fillId="0" borderId="0" xfId="0"/>
    <xf numFmtId="0" fontId="4" fillId="0" borderId="0" xfId="0" applyFont="1"/>
    <xf numFmtId="0" fontId="8" fillId="0" borderId="0" xfId="0" applyFont="1"/>
    <xf numFmtId="0" fontId="11" fillId="6" borderId="2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vertical="center" wrapText="1"/>
    </xf>
    <xf numFmtId="1" fontId="4" fillId="6" borderId="1" xfId="0" applyNumberFormat="1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82550</xdr:rowOff>
    </xdr:from>
    <xdr:to>
      <xdr:col>16</xdr:col>
      <xdr:colOff>368820</xdr:colOff>
      <xdr:row>31</xdr:row>
      <xdr:rowOff>57414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43079A-00EB-603F-0C18-452EE13A4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000"/>
          <a:ext cx="10122420" cy="5131064"/>
        </a:xfrm>
        <a:prstGeom prst="rect">
          <a:avLst/>
        </a:prstGeom>
      </xdr:spPr>
    </xdr:pic>
    <xdr:clientData/>
  </xdr:twoCellAnchor>
  <xdr:twoCellAnchor editAs="oneCell">
    <xdr:from>
      <xdr:col>5</xdr:col>
      <xdr:colOff>139700</xdr:colOff>
      <xdr:row>31</xdr:row>
      <xdr:rowOff>63500</xdr:rowOff>
    </xdr:from>
    <xdr:to>
      <xdr:col>17</xdr:col>
      <xdr:colOff>375038</xdr:colOff>
      <xdr:row>43</xdr:row>
      <xdr:rowOff>50913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001304-6D34-3EDF-8DE0-48CB95437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7700" y="5772150"/>
          <a:ext cx="7550538" cy="219721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19</xdr:col>
      <xdr:colOff>349832</xdr:colOff>
      <xdr:row>22</xdr:row>
      <xdr:rowOff>95368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F5318-FBD1-878D-1A09-78AC79AE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0"/>
          <a:ext cx="11322632" cy="2305168"/>
        </a:xfrm>
        <a:prstGeom prst="rect">
          <a:avLst/>
        </a:prstGeom>
      </xdr:spPr>
    </xdr:pic>
    <xdr:clientData/>
  </xdr:twoCellAnchor>
  <xdr:twoCellAnchor editAs="oneCell">
    <xdr:from>
      <xdr:col>19</xdr:col>
      <xdr:colOff>336550</xdr:colOff>
      <xdr:row>9</xdr:row>
      <xdr:rowOff>95250</xdr:rowOff>
    </xdr:from>
    <xdr:to>
      <xdr:col>33</xdr:col>
      <xdr:colOff>451295</xdr:colOff>
      <xdr:row>39</xdr:row>
      <xdr:rowOff>171738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23F820-F4BB-C77E-61DD-98A3F924F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18950" y="1752600"/>
          <a:ext cx="8649145" cy="56009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407016</xdr:colOff>
      <xdr:row>24</xdr:row>
      <xdr:rowOff>158985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1D64D-F212-AF9A-9B10-D4C76832D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89416" cy="4578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6349</xdr:rowOff>
    </xdr:from>
    <xdr:to>
      <xdr:col>18</xdr:col>
      <xdr:colOff>450850</xdr:colOff>
      <xdr:row>58</xdr:row>
      <xdr:rowOff>3128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7DBD42-A537-5DD5-C735-D09E3C466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78399"/>
          <a:ext cx="11423650" cy="5705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19</xdr:col>
      <xdr:colOff>216506</xdr:colOff>
      <xdr:row>83</xdr:row>
      <xdr:rowOff>19269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86FDC0-9470-2237-9309-CF3342328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049000"/>
          <a:ext cx="11798906" cy="4254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opLeftCell="A14" workbookViewId="0">
      <selection activeCell="A24" sqref="A24"/>
    </sheetView>
  </sheetViews>
  <sheetFormatPr defaultColWidth="8.81640625" defaultRowHeight="14.5" x14ac:dyDescent="0.35"/>
  <cols>
    <col min="1" max="1" width="120" customWidth="1"/>
  </cols>
  <sheetData>
    <row r="1" spans="1:1" ht="30.5" x14ac:dyDescent="0.35">
      <c r="A1" s="1" t="s">
        <v>0</v>
      </c>
    </row>
    <row r="2" spans="1:1" ht="21.5" x14ac:dyDescent="0.35">
      <c r="A2" s="2"/>
    </row>
    <row r="3" spans="1:1" ht="23" x14ac:dyDescent="0.35">
      <c r="A3" s="3" t="s">
        <v>1</v>
      </c>
    </row>
    <row r="4" spans="1:1" ht="20" x14ac:dyDescent="0.35">
      <c r="A4" s="4"/>
    </row>
    <row r="5" spans="1:1" ht="64.5" x14ac:dyDescent="0.35">
      <c r="A5" s="20" t="s">
        <v>2</v>
      </c>
    </row>
    <row r="7" spans="1:1" ht="20" x14ac:dyDescent="0.35">
      <c r="A7" s="4" t="s">
        <v>3</v>
      </c>
    </row>
    <row r="8" spans="1:1" ht="20" x14ac:dyDescent="0.35">
      <c r="A8" s="4" t="s">
        <v>139</v>
      </c>
    </row>
    <row r="9" spans="1:1" ht="21.5" x14ac:dyDescent="0.35">
      <c r="A9" s="2"/>
    </row>
    <row r="10" spans="1:1" ht="23" x14ac:dyDescent="0.35">
      <c r="A10" s="3" t="s">
        <v>4</v>
      </c>
    </row>
    <row r="11" spans="1:1" ht="40" x14ac:dyDescent="0.35">
      <c r="A11" s="4" t="s">
        <v>5</v>
      </c>
    </row>
    <row r="12" spans="1:1" ht="40" x14ac:dyDescent="0.35">
      <c r="A12" s="4" t="s">
        <v>6</v>
      </c>
    </row>
    <row r="13" spans="1:1" ht="21.5" x14ac:dyDescent="0.35">
      <c r="A13" s="2"/>
    </row>
    <row r="14" spans="1:1" ht="23" x14ac:dyDescent="0.35">
      <c r="A14" s="3" t="s">
        <v>7</v>
      </c>
    </row>
    <row r="15" spans="1:1" ht="20" x14ac:dyDescent="0.35">
      <c r="A15" s="4" t="s">
        <v>9</v>
      </c>
    </row>
    <row r="16" spans="1:1" ht="20" x14ac:dyDescent="0.35">
      <c r="A16" s="4" t="s">
        <v>8</v>
      </c>
    </row>
    <row r="17" spans="1:1" ht="20" x14ac:dyDescent="0.35">
      <c r="A17" s="4" t="s">
        <v>140</v>
      </c>
    </row>
    <row r="18" spans="1:1" ht="20" x14ac:dyDescent="0.35">
      <c r="A18" s="4" t="s">
        <v>141</v>
      </c>
    </row>
    <row r="20" spans="1:1" ht="23" x14ac:dyDescent="0.35">
      <c r="A20" s="3" t="s">
        <v>10</v>
      </c>
    </row>
    <row r="21" spans="1:1" ht="20" x14ac:dyDescent="0.35">
      <c r="A21" s="4" t="s">
        <v>143</v>
      </c>
    </row>
    <row r="22" spans="1:1" ht="20" x14ac:dyDescent="0.35">
      <c r="A22" s="4" t="s">
        <v>11</v>
      </c>
    </row>
    <row r="23" spans="1:1" ht="20" x14ac:dyDescent="0.35">
      <c r="A23" s="4" t="s">
        <v>12</v>
      </c>
    </row>
    <row r="24" spans="1:1" ht="40" x14ac:dyDescent="0.35">
      <c r="A24" s="4" t="s">
        <v>142</v>
      </c>
    </row>
    <row r="26" spans="1:1" ht="20" x14ac:dyDescent="0.35">
      <c r="A26" s="4"/>
    </row>
    <row r="28" spans="1:1" ht="20" x14ac:dyDescent="0.85">
      <c r="A28" s="1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5DC6-09E9-4AFD-BE49-E760DAED8756}">
  <dimension ref="A1:E19"/>
  <sheetViews>
    <sheetView workbookViewId="0">
      <selection sqref="A1:E1"/>
    </sheetView>
  </sheetViews>
  <sheetFormatPr defaultColWidth="8.81640625" defaultRowHeight="14.5" x14ac:dyDescent="0.35"/>
  <cols>
    <col min="1" max="1" width="60.90625" customWidth="1"/>
    <col min="2" max="3" width="16" customWidth="1"/>
    <col min="4" max="4" width="28" customWidth="1"/>
    <col min="5" max="5" width="50" customWidth="1"/>
  </cols>
  <sheetData>
    <row r="1" spans="1:5" ht="27.5" x14ac:dyDescent="1.1499999999999999">
      <c r="A1" s="24" t="s">
        <v>93</v>
      </c>
      <c r="B1" s="25"/>
      <c r="C1" s="25"/>
      <c r="D1" s="25"/>
      <c r="E1" s="25"/>
    </row>
    <row r="3" spans="1:5" ht="21.5" x14ac:dyDescent="0.35">
      <c r="A3" s="5" t="s">
        <v>94</v>
      </c>
      <c r="B3" s="5" t="s">
        <v>95</v>
      </c>
      <c r="C3" s="5" t="s">
        <v>96</v>
      </c>
      <c r="D3" s="5" t="s">
        <v>64</v>
      </c>
      <c r="E3" s="5" t="s">
        <v>65</v>
      </c>
    </row>
    <row r="4" spans="1:5" ht="20" x14ac:dyDescent="0.35">
      <c r="A4" s="6" t="s">
        <v>97</v>
      </c>
      <c r="B4" s="7">
        <v>500</v>
      </c>
      <c r="C4" s="7">
        <v>1500</v>
      </c>
      <c r="D4" s="6" t="s">
        <v>33</v>
      </c>
      <c r="E4" s="6" t="s">
        <v>98</v>
      </c>
    </row>
    <row r="5" spans="1:5" ht="20" x14ac:dyDescent="0.35">
      <c r="A5" s="6" t="s">
        <v>99</v>
      </c>
      <c r="B5" s="7">
        <v>200</v>
      </c>
      <c r="C5" s="7">
        <v>800</v>
      </c>
      <c r="D5" s="6" t="s">
        <v>100</v>
      </c>
      <c r="E5" s="6" t="s">
        <v>101</v>
      </c>
    </row>
    <row r="6" spans="1:5" ht="20" x14ac:dyDescent="0.35">
      <c r="A6" s="6" t="s">
        <v>102</v>
      </c>
      <c r="B6" s="7">
        <v>50</v>
      </c>
      <c r="C6" s="7">
        <v>300</v>
      </c>
      <c r="D6" s="6" t="s">
        <v>103</v>
      </c>
      <c r="E6" s="6" t="s">
        <v>104</v>
      </c>
    </row>
    <row r="7" spans="1:5" ht="20" x14ac:dyDescent="0.35">
      <c r="A7" s="6" t="s">
        <v>105</v>
      </c>
      <c r="B7" s="7">
        <v>200</v>
      </c>
      <c r="C7" s="7">
        <v>500</v>
      </c>
      <c r="D7" s="6" t="s">
        <v>50</v>
      </c>
      <c r="E7" s="6" t="s">
        <v>106</v>
      </c>
    </row>
    <row r="8" spans="1:5" ht="20" x14ac:dyDescent="0.35">
      <c r="A8" s="6" t="s">
        <v>107</v>
      </c>
      <c r="B8" s="7">
        <v>300</v>
      </c>
      <c r="C8" s="7">
        <v>700</v>
      </c>
      <c r="D8" s="6" t="s">
        <v>52</v>
      </c>
      <c r="E8" s="6" t="s">
        <v>108</v>
      </c>
    </row>
    <row r="9" spans="1:5" ht="20" x14ac:dyDescent="0.35">
      <c r="A9" s="6" t="s">
        <v>109</v>
      </c>
      <c r="B9" s="7">
        <v>200</v>
      </c>
      <c r="C9" s="7">
        <v>400</v>
      </c>
      <c r="D9" s="6" t="s">
        <v>18</v>
      </c>
      <c r="E9" s="6" t="s">
        <v>106</v>
      </c>
    </row>
    <row r="10" spans="1:5" ht="20" x14ac:dyDescent="0.35">
      <c r="A10" s="6" t="s">
        <v>110</v>
      </c>
      <c r="B10" s="7">
        <v>100</v>
      </c>
      <c r="C10" s="7">
        <v>300</v>
      </c>
      <c r="D10" s="6" t="s">
        <v>20</v>
      </c>
      <c r="E10" s="6" t="s">
        <v>111</v>
      </c>
    </row>
    <row r="11" spans="1:5" ht="20" x14ac:dyDescent="0.35">
      <c r="A11" s="6" t="s">
        <v>112</v>
      </c>
      <c r="B11" s="7">
        <v>0</v>
      </c>
      <c r="C11" s="7">
        <v>0</v>
      </c>
      <c r="D11" s="6" t="s">
        <v>58</v>
      </c>
      <c r="E11" s="6" t="s">
        <v>113</v>
      </c>
    </row>
    <row r="14" spans="1:5" ht="21.5" x14ac:dyDescent="0.9">
      <c r="A14" s="8" t="s">
        <v>114</v>
      </c>
    </row>
    <row r="15" spans="1:5" ht="20" x14ac:dyDescent="0.85">
      <c r="A15" s="18" t="s">
        <v>115</v>
      </c>
    </row>
    <row r="16" spans="1:5" ht="20" x14ac:dyDescent="0.85">
      <c r="A16" s="18" t="s">
        <v>116</v>
      </c>
    </row>
    <row r="17" spans="1:1" ht="20" x14ac:dyDescent="0.85">
      <c r="A17" s="18" t="s">
        <v>117</v>
      </c>
    </row>
    <row r="18" spans="1:1" ht="20" x14ac:dyDescent="0.85">
      <c r="A18" s="18" t="s">
        <v>118</v>
      </c>
    </row>
    <row r="19" spans="1:1" ht="20" x14ac:dyDescent="0.85">
      <c r="A19" s="18" t="s">
        <v>119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topLeftCell="A2" workbookViewId="0">
      <selection activeCell="A9" sqref="A9"/>
    </sheetView>
  </sheetViews>
  <sheetFormatPr defaultColWidth="8.81640625" defaultRowHeight="14.5" x14ac:dyDescent="0.35"/>
  <cols>
    <col min="1" max="1" width="40" customWidth="1"/>
    <col min="2" max="2" width="14" customWidth="1"/>
    <col min="3" max="3" width="24" customWidth="1"/>
    <col min="4" max="4" width="40" customWidth="1"/>
    <col min="5" max="5" width="50" customWidth="1"/>
  </cols>
  <sheetData>
    <row r="1" spans="1:5" ht="27.5" x14ac:dyDescent="1.1499999999999999">
      <c r="A1" s="24" t="s">
        <v>60</v>
      </c>
      <c r="B1" s="25"/>
      <c r="C1" s="25"/>
      <c r="D1" s="25"/>
      <c r="E1" s="25"/>
    </row>
    <row r="3" spans="1:5" ht="43" x14ac:dyDescent="0.35">
      <c r="A3" s="5" t="s">
        <v>61</v>
      </c>
      <c r="B3" s="5" t="s">
        <v>62</v>
      </c>
      <c r="C3" s="5" t="s">
        <v>63</v>
      </c>
      <c r="D3" s="5" t="s">
        <v>64</v>
      </c>
      <c r="E3" s="5" t="s">
        <v>65</v>
      </c>
    </row>
    <row r="4" spans="1:5" ht="40" x14ac:dyDescent="0.35">
      <c r="A4" s="6" t="s">
        <v>66</v>
      </c>
      <c r="B4" s="7">
        <v>1500</v>
      </c>
      <c r="C4" s="6" t="s">
        <v>67</v>
      </c>
      <c r="D4" s="6" t="s">
        <v>68</v>
      </c>
      <c r="E4" s="6" t="s">
        <v>69</v>
      </c>
    </row>
    <row r="5" spans="1:5" ht="20" x14ac:dyDescent="0.35">
      <c r="A5" s="6" t="s">
        <v>70</v>
      </c>
      <c r="B5" s="7">
        <v>3000</v>
      </c>
      <c r="C5" s="6" t="s">
        <v>71</v>
      </c>
      <c r="D5" s="6" t="s">
        <v>72</v>
      </c>
      <c r="E5" s="6" t="s">
        <v>73</v>
      </c>
    </row>
    <row r="6" spans="1:5" ht="20" x14ac:dyDescent="0.35">
      <c r="A6" s="6" t="s">
        <v>74</v>
      </c>
      <c r="B6" s="7">
        <v>4000</v>
      </c>
      <c r="C6" s="6" t="s">
        <v>75</v>
      </c>
      <c r="D6" s="6" t="s">
        <v>76</v>
      </c>
      <c r="E6" s="6" t="s">
        <v>77</v>
      </c>
    </row>
    <row r="7" spans="1:5" ht="40" x14ac:dyDescent="0.35">
      <c r="A7" s="6" t="s">
        <v>78</v>
      </c>
      <c r="B7" s="7">
        <v>7000</v>
      </c>
      <c r="C7" s="6" t="s">
        <v>79</v>
      </c>
      <c r="D7" s="6" t="s">
        <v>80</v>
      </c>
      <c r="E7" s="6" t="s">
        <v>81</v>
      </c>
    </row>
    <row r="8" spans="1:5" ht="20" x14ac:dyDescent="0.35">
      <c r="A8" s="6" t="s">
        <v>82</v>
      </c>
      <c r="B8" s="7">
        <v>2000</v>
      </c>
      <c r="C8" s="6" t="s">
        <v>83</v>
      </c>
      <c r="D8" s="6" t="s">
        <v>58</v>
      </c>
      <c r="E8" s="6" t="s">
        <v>84</v>
      </c>
    </row>
    <row r="9" spans="1:5" ht="20" x14ac:dyDescent="0.35">
      <c r="A9" s="6" t="s">
        <v>85</v>
      </c>
      <c r="B9" s="7">
        <v>3000</v>
      </c>
      <c r="C9" s="6" t="s">
        <v>86</v>
      </c>
      <c r="D9" s="6" t="s">
        <v>87</v>
      </c>
      <c r="E9" s="6" t="s">
        <v>88</v>
      </c>
    </row>
    <row r="10" spans="1:5" ht="20" x14ac:dyDescent="0.35">
      <c r="A10" s="6" t="s">
        <v>89</v>
      </c>
      <c r="B10" s="7">
        <v>2000</v>
      </c>
      <c r="C10" s="6" t="s">
        <v>90</v>
      </c>
      <c r="D10" s="6" t="s">
        <v>91</v>
      </c>
      <c r="E10" s="6" t="s">
        <v>92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0"/>
  <sheetViews>
    <sheetView workbookViewId="0">
      <pane xSplit="1" ySplit="3" topLeftCell="D4" activePane="bottomRight" state="frozen"/>
      <selection pane="topRight"/>
      <selection pane="bottomLeft"/>
      <selection pane="bottomRight" activeCell="F11" sqref="F11"/>
    </sheetView>
  </sheetViews>
  <sheetFormatPr defaultColWidth="8.81640625" defaultRowHeight="14.5" outlineLevelRow="1" x14ac:dyDescent="0.35"/>
  <cols>
    <col min="1" max="1" width="6" customWidth="1"/>
    <col min="2" max="2" width="8" customWidth="1"/>
    <col min="3" max="3" width="34.81640625" customWidth="1"/>
    <col min="4" max="4" width="42" customWidth="1"/>
    <col min="5" max="5" width="18" customWidth="1"/>
    <col min="6" max="7" width="14" customWidth="1"/>
    <col min="8" max="8" width="12" customWidth="1"/>
    <col min="9" max="11" width="14" customWidth="1"/>
  </cols>
  <sheetData>
    <row r="1" spans="1:11" ht="27.5" x14ac:dyDescent="1.1499999999999999">
      <c r="A1" s="24" t="s">
        <v>120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5" customHeight="1" x14ac:dyDescent="0.35"/>
    <row r="3" spans="1:11" s="22" customFormat="1" ht="32" customHeight="1" x14ac:dyDescent="0.3">
      <c r="A3" s="21" t="s">
        <v>121</v>
      </c>
      <c r="B3" s="21" t="s">
        <v>13</v>
      </c>
      <c r="C3" s="21" t="s">
        <v>14</v>
      </c>
      <c r="D3" s="21" t="s">
        <v>122</v>
      </c>
      <c r="E3" s="21" t="s">
        <v>123</v>
      </c>
      <c r="F3" s="21" t="s">
        <v>197</v>
      </c>
      <c r="G3" s="21" t="s">
        <v>176</v>
      </c>
      <c r="H3" s="21" t="s">
        <v>132</v>
      </c>
      <c r="I3" s="21" t="s">
        <v>133</v>
      </c>
      <c r="J3" s="21" t="s">
        <v>134</v>
      </c>
      <c r="K3" s="21" t="s">
        <v>135</v>
      </c>
    </row>
    <row r="4" spans="1:11" ht="20" x14ac:dyDescent="0.35">
      <c r="A4" s="9">
        <v>1</v>
      </c>
      <c r="B4" s="9" t="s">
        <v>15</v>
      </c>
      <c r="C4" s="9" t="s">
        <v>16</v>
      </c>
      <c r="D4" s="9" t="s">
        <v>17</v>
      </c>
      <c r="E4" s="9" t="s">
        <v>124</v>
      </c>
      <c r="F4" s="10">
        <v>68750</v>
      </c>
      <c r="G4" s="10">
        <v>90000</v>
      </c>
      <c r="H4" s="11">
        <v>12</v>
      </c>
      <c r="I4" s="10">
        <v>0</v>
      </c>
      <c r="J4" s="10">
        <v>0</v>
      </c>
      <c r="K4" s="10">
        <v>400</v>
      </c>
    </row>
    <row r="5" spans="1:11" ht="30" hidden="1" customHeight="1" outlineLevel="1" x14ac:dyDescent="0.35">
      <c r="A5" s="9"/>
      <c r="B5" s="9"/>
      <c r="C5" s="23" t="s">
        <v>144</v>
      </c>
      <c r="D5" s="23" t="s">
        <v>145</v>
      </c>
      <c r="E5" s="9"/>
      <c r="F5" s="10"/>
      <c r="G5" s="10"/>
      <c r="H5" s="11"/>
      <c r="I5" s="10"/>
      <c r="J5" s="10"/>
      <c r="K5" s="10"/>
    </row>
    <row r="6" spans="1:11" ht="30" hidden="1" customHeight="1" outlineLevel="1" x14ac:dyDescent="0.35">
      <c r="A6" s="9"/>
      <c r="B6" s="9"/>
      <c r="C6" s="23" t="s">
        <v>146</v>
      </c>
      <c r="D6" s="23" t="s">
        <v>147</v>
      </c>
      <c r="E6" s="9"/>
      <c r="F6" s="10"/>
      <c r="G6" s="10"/>
      <c r="H6" s="11"/>
      <c r="I6" s="10"/>
      <c r="J6" s="10"/>
      <c r="K6" s="10"/>
    </row>
    <row r="7" spans="1:11" ht="30" hidden="1" customHeight="1" outlineLevel="1" x14ac:dyDescent="0.35">
      <c r="A7" s="9"/>
      <c r="B7" s="9"/>
      <c r="C7" s="23" t="s">
        <v>148</v>
      </c>
      <c r="D7" s="23" t="s">
        <v>149</v>
      </c>
      <c r="E7" s="9"/>
      <c r="F7" s="10"/>
      <c r="G7" s="10"/>
      <c r="H7" s="11"/>
      <c r="I7" s="10"/>
      <c r="J7" s="10"/>
      <c r="K7" s="10"/>
    </row>
    <row r="8" spans="1:11" ht="30" hidden="1" customHeight="1" outlineLevel="1" x14ac:dyDescent="0.35">
      <c r="A8" s="9"/>
      <c r="B8" s="9"/>
      <c r="C8" s="23" t="s">
        <v>150</v>
      </c>
      <c r="D8" s="23" t="s">
        <v>151</v>
      </c>
      <c r="E8" s="9"/>
      <c r="F8" s="10"/>
      <c r="G8" s="10"/>
      <c r="H8" s="11"/>
      <c r="I8" s="10"/>
      <c r="J8" s="10"/>
      <c r="K8" s="10"/>
    </row>
    <row r="9" spans="1:11" ht="30" hidden="1" customHeight="1" outlineLevel="1" x14ac:dyDescent="0.35">
      <c r="A9" s="9"/>
      <c r="B9" s="9"/>
      <c r="C9" s="23" t="s">
        <v>152</v>
      </c>
      <c r="D9" s="23" t="s">
        <v>153</v>
      </c>
      <c r="E9" s="9"/>
      <c r="F9" s="10"/>
      <c r="G9" s="10"/>
      <c r="H9" s="11"/>
      <c r="I9" s="10"/>
      <c r="J9" s="10"/>
      <c r="K9" s="10"/>
    </row>
    <row r="10" spans="1:11" ht="30" hidden="1" customHeight="1" outlineLevel="1" x14ac:dyDescent="0.35">
      <c r="A10" s="9"/>
      <c r="B10" s="9"/>
      <c r="C10" s="23" t="s">
        <v>154</v>
      </c>
      <c r="D10" s="23" t="s">
        <v>155</v>
      </c>
      <c r="E10" s="9"/>
      <c r="F10" s="10"/>
      <c r="G10" s="10"/>
      <c r="H10" s="11"/>
      <c r="I10" s="10"/>
      <c r="J10" s="10"/>
      <c r="K10" s="10"/>
    </row>
    <row r="11" spans="1:11" ht="30" customHeight="1" collapsed="1" x14ac:dyDescent="0.35">
      <c r="A11" s="9">
        <v>1</v>
      </c>
      <c r="B11" s="9" t="s">
        <v>18</v>
      </c>
      <c r="C11" s="9" t="s">
        <v>16</v>
      </c>
      <c r="D11" s="9" t="s">
        <v>125</v>
      </c>
      <c r="E11" s="9" t="s">
        <v>124</v>
      </c>
      <c r="F11" s="10">
        <v>84000</v>
      </c>
      <c r="G11" s="10">
        <v>130000</v>
      </c>
      <c r="H11" s="11">
        <v>16</v>
      </c>
      <c r="I11" s="10">
        <v>200</v>
      </c>
      <c r="J11" s="10">
        <v>0</v>
      </c>
      <c r="K11" s="10">
        <v>600</v>
      </c>
    </row>
    <row r="12" spans="1:11" ht="30" hidden="1" customHeight="1" outlineLevel="1" x14ac:dyDescent="0.35">
      <c r="A12" s="9"/>
      <c r="B12" s="9"/>
      <c r="C12" s="23" t="s">
        <v>156</v>
      </c>
      <c r="D12" s="23" t="s">
        <v>157</v>
      </c>
      <c r="E12" s="9"/>
      <c r="F12" s="10"/>
      <c r="G12" s="10"/>
      <c r="H12" s="11"/>
      <c r="I12" s="10"/>
      <c r="J12" s="10"/>
      <c r="K12" s="10"/>
    </row>
    <row r="13" spans="1:11" ht="30" hidden="1" customHeight="1" outlineLevel="1" x14ac:dyDescent="0.35">
      <c r="A13" s="9"/>
      <c r="B13" s="9"/>
      <c r="C13" s="23" t="s">
        <v>158</v>
      </c>
      <c r="D13" s="23" t="s">
        <v>159</v>
      </c>
      <c r="E13" s="9"/>
      <c r="F13" s="10"/>
      <c r="G13" s="10"/>
      <c r="H13" s="11"/>
      <c r="I13" s="10"/>
      <c r="J13" s="10"/>
      <c r="K13" s="10"/>
    </row>
    <row r="14" spans="1:11" ht="30" hidden="1" customHeight="1" outlineLevel="1" x14ac:dyDescent="0.35">
      <c r="A14" s="9"/>
      <c r="B14" s="9"/>
      <c r="C14" s="23" t="s">
        <v>160</v>
      </c>
      <c r="D14" s="23" t="s">
        <v>161</v>
      </c>
      <c r="E14" s="9"/>
      <c r="F14" s="10"/>
      <c r="G14" s="10"/>
      <c r="H14" s="11"/>
      <c r="I14" s="10"/>
      <c r="J14" s="10"/>
      <c r="K14" s="10"/>
    </row>
    <row r="15" spans="1:11" ht="30" hidden="1" customHeight="1" outlineLevel="1" x14ac:dyDescent="0.35">
      <c r="A15" s="9"/>
      <c r="B15" s="9"/>
      <c r="C15" s="23" t="s">
        <v>162</v>
      </c>
      <c r="D15" s="23" t="s">
        <v>163</v>
      </c>
      <c r="E15" s="9"/>
      <c r="F15" s="10"/>
      <c r="G15" s="10"/>
      <c r="H15" s="11"/>
      <c r="I15" s="10"/>
      <c r="J15" s="10"/>
      <c r="K15" s="10"/>
    </row>
    <row r="16" spans="1:11" ht="30" hidden="1" customHeight="1" outlineLevel="1" x14ac:dyDescent="0.35">
      <c r="A16" s="9"/>
      <c r="B16" s="9"/>
      <c r="C16" s="23" t="s">
        <v>164</v>
      </c>
      <c r="D16" s="23" t="s">
        <v>165</v>
      </c>
      <c r="E16" s="9"/>
      <c r="F16" s="10"/>
      <c r="G16" s="10"/>
      <c r="H16" s="11"/>
      <c r="I16" s="10"/>
      <c r="J16" s="10"/>
      <c r="K16" s="10"/>
    </row>
    <row r="17" spans="1:11" ht="30" hidden="1" customHeight="1" outlineLevel="1" x14ac:dyDescent="0.35">
      <c r="A17" s="9"/>
      <c r="B17" s="9"/>
      <c r="C17" s="23" t="s">
        <v>166</v>
      </c>
      <c r="D17" s="23" t="s">
        <v>167</v>
      </c>
      <c r="E17" s="9"/>
      <c r="F17" s="10"/>
      <c r="G17" s="10"/>
      <c r="H17" s="11"/>
      <c r="I17" s="10"/>
      <c r="J17" s="10"/>
      <c r="K17" s="10"/>
    </row>
    <row r="18" spans="1:11" ht="30" hidden="1" customHeight="1" outlineLevel="1" x14ac:dyDescent="0.35">
      <c r="A18" s="9"/>
      <c r="B18" s="9"/>
      <c r="C18" s="23" t="s">
        <v>168</v>
      </c>
      <c r="D18" s="23" t="s">
        <v>169</v>
      </c>
      <c r="E18" s="9"/>
      <c r="F18" s="10"/>
      <c r="G18" s="10"/>
      <c r="H18" s="11"/>
      <c r="I18" s="10"/>
      <c r="J18" s="10"/>
      <c r="K18" s="10"/>
    </row>
    <row r="19" spans="1:11" ht="30" customHeight="1" collapsed="1" x14ac:dyDescent="0.35">
      <c r="A19" s="9">
        <v>1</v>
      </c>
      <c r="B19" s="9" t="s">
        <v>19</v>
      </c>
      <c r="C19" s="9" t="s">
        <v>16</v>
      </c>
      <c r="D19" s="9" t="s">
        <v>131</v>
      </c>
      <c r="E19" s="9" t="s">
        <v>124</v>
      </c>
      <c r="F19" s="10">
        <v>42000</v>
      </c>
      <c r="G19" s="10">
        <v>70000</v>
      </c>
      <c r="H19" s="11">
        <v>8</v>
      </c>
      <c r="I19" s="10">
        <v>0</v>
      </c>
      <c r="J19" s="10">
        <v>0</v>
      </c>
      <c r="K19" s="10">
        <v>300</v>
      </c>
    </row>
    <row r="20" spans="1:11" ht="30" hidden="1" customHeight="1" outlineLevel="1" x14ac:dyDescent="0.35">
      <c r="A20" s="9"/>
      <c r="B20" s="9"/>
      <c r="C20" s="23" t="s">
        <v>170</v>
      </c>
      <c r="D20" s="23" t="s">
        <v>171</v>
      </c>
      <c r="E20" s="9"/>
      <c r="F20" s="10"/>
      <c r="G20" s="10"/>
      <c r="H20" s="11"/>
      <c r="I20" s="10"/>
      <c r="J20" s="10"/>
      <c r="K20" s="10"/>
    </row>
    <row r="21" spans="1:11" ht="30" hidden="1" customHeight="1" outlineLevel="1" x14ac:dyDescent="0.35">
      <c r="A21" s="9"/>
      <c r="B21" s="9"/>
      <c r="C21" s="23" t="s">
        <v>172</v>
      </c>
      <c r="D21" s="23" t="s">
        <v>173</v>
      </c>
      <c r="E21" s="9"/>
      <c r="F21" s="10"/>
      <c r="G21" s="10"/>
      <c r="H21" s="11"/>
      <c r="I21" s="10"/>
      <c r="J21" s="10"/>
      <c r="K21" s="10"/>
    </row>
    <row r="22" spans="1:11" ht="30" hidden="1" customHeight="1" outlineLevel="1" x14ac:dyDescent="0.35">
      <c r="A22" s="9"/>
      <c r="B22" s="9"/>
      <c r="C22" s="23" t="s">
        <v>174</v>
      </c>
      <c r="D22" s="23" t="s">
        <v>175</v>
      </c>
      <c r="E22" s="9"/>
      <c r="F22" s="10"/>
      <c r="G22" s="10"/>
      <c r="H22" s="11"/>
      <c r="I22" s="10"/>
      <c r="J22" s="10"/>
      <c r="K22" s="10"/>
    </row>
    <row r="23" spans="1:11" ht="20" collapsed="1" x14ac:dyDescent="0.35">
      <c r="A23" s="15">
        <v>1</v>
      </c>
      <c r="B23" s="15" t="s">
        <v>20</v>
      </c>
      <c r="C23" s="15" t="s">
        <v>21</v>
      </c>
      <c r="D23" s="15" t="s">
        <v>22</v>
      </c>
      <c r="E23" s="15" t="s">
        <v>126</v>
      </c>
      <c r="F23" s="16">
        <v>18750</v>
      </c>
      <c r="G23" s="16">
        <v>26250</v>
      </c>
      <c r="H23" s="17">
        <v>10</v>
      </c>
      <c r="I23" s="16">
        <v>100</v>
      </c>
      <c r="J23" s="16">
        <v>12000</v>
      </c>
      <c r="K23" s="16">
        <v>400</v>
      </c>
    </row>
    <row r="24" spans="1:11" ht="20" x14ac:dyDescent="0.35">
      <c r="A24" s="15">
        <v>1</v>
      </c>
      <c r="B24" s="15" t="s">
        <v>23</v>
      </c>
      <c r="C24" s="15" t="s">
        <v>21</v>
      </c>
      <c r="D24" s="15" t="s">
        <v>24</v>
      </c>
      <c r="E24" s="15" t="s">
        <v>126</v>
      </c>
      <c r="F24" s="16">
        <v>11875</v>
      </c>
      <c r="G24" s="16">
        <v>16625</v>
      </c>
      <c r="H24" s="17">
        <v>6</v>
      </c>
      <c r="I24" s="16">
        <v>0</v>
      </c>
      <c r="J24" s="16">
        <v>0</v>
      </c>
      <c r="K24" s="16">
        <v>200</v>
      </c>
    </row>
    <row r="25" spans="1:11" ht="20" x14ac:dyDescent="0.35">
      <c r="A25" s="15">
        <v>1</v>
      </c>
      <c r="B25" s="15" t="s">
        <v>25</v>
      </c>
      <c r="C25" s="15" t="s">
        <v>21</v>
      </c>
      <c r="D25" s="15" t="s">
        <v>26</v>
      </c>
      <c r="E25" s="15" t="s">
        <v>126</v>
      </c>
      <c r="F25" s="16">
        <v>14375</v>
      </c>
      <c r="G25" s="16">
        <v>20125</v>
      </c>
      <c r="H25" s="17">
        <v>8</v>
      </c>
      <c r="I25" s="16">
        <v>50</v>
      </c>
      <c r="J25" s="16">
        <v>1500</v>
      </c>
      <c r="K25" s="16">
        <v>250</v>
      </c>
    </row>
    <row r="26" spans="1:11" ht="20" x14ac:dyDescent="0.35">
      <c r="A26" s="15">
        <v>1</v>
      </c>
      <c r="B26" s="15" t="s">
        <v>27</v>
      </c>
      <c r="C26" s="15" t="s">
        <v>21</v>
      </c>
      <c r="D26" s="15" t="s">
        <v>28</v>
      </c>
      <c r="E26" s="15" t="s">
        <v>126</v>
      </c>
      <c r="F26" s="16">
        <v>9375</v>
      </c>
      <c r="G26" s="16">
        <v>13125</v>
      </c>
      <c r="H26" s="17">
        <v>5</v>
      </c>
      <c r="I26" s="16">
        <v>0</v>
      </c>
      <c r="J26" s="16">
        <v>0</v>
      </c>
      <c r="K26" s="16">
        <v>150</v>
      </c>
    </row>
    <row r="27" spans="1:11" ht="20" x14ac:dyDescent="0.35">
      <c r="A27" s="15">
        <v>1</v>
      </c>
      <c r="B27" s="15" t="s">
        <v>29</v>
      </c>
      <c r="C27" s="15" t="s">
        <v>21</v>
      </c>
      <c r="D27" s="15" t="s">
        <v>30</v>
      </c>
      <c r="E27" s="15" t="s">
        <v>126</v>
      </c>
      <c r="F27" s="16">
        <v>13125</v>
      </c>
      <c r="G27" s="16">
        <v>18375</v>
      </c>
      <c r="H27" s="17">
        <v>7</v>
      </c>
      <c r="I27" s="16">
        <v>0</v>
      </c>
      <c r="J27" s="16">
        <v>0</v>
      </c>
      <c r="K27" s="16">
        <v>300</v>
      </c>
    </row>
    <row r="28" spans="1:11" ht="20" x14ac:dyDescent="0.35">
      <c r="A28" s="15">
        <v>1</v>
      </c>
      <c r="B28" s="15" t="s">
        <v>31</v>
      </c>
      <c r="C28" s="15" t="s">
        <v>21</v>
      </c>
      <c r="D28" s="15" t="s">
        <v>32</v>
      </c>
      <c r="E28" s="15" t="s">
        <v>126</v>
      </c>
      <c r="F28" s="16">
        <v>11875</v>
      </c>
      <c r="G28" s="16">
        <v>16625</v>
      </c>
      <c r="H28" s="17">
        <v>6</v>
      </c>
      <c r="I28" s="16">
        <v>0</v>
      </c>
      <c r="J28" s="16">
        <v>0</v>
      </c>
      <c r="K28" s="16">
        <v>100</v>
      </c>
    </row>
    <row r="29" spans="1:11" ht="20" x14ac:dyDescent="0.35">
      <c r="A29" s="15">
        <v>1</v>
      </c>
      <c r="B29" s="15" t="s">
        <v>33</v>
      </c>
      <c r="C29" s="15" t="s">
        <v>21</v>
      </c>
      <c r="D29" s="15" t="s">
        <v>34</v>
      </c>
      <c r="E29" s="15" t="s">
        <v>126</v>
      </c>
      <c r="F29" s="16">
        <v>15000</v>
      </c>
      <c r="G29" s="16">
        <v>21000</v>
      </c>
      <c r="H29" s="17">
        <v>8</v>
      </c>
      <c r="I29" s="16">
        <v>500</v>
      </c>
      <c r="J29" s="16">
        <v>0</v>
      </c>
      <c r="K29" s="16">
        <v>200</v>
      </c>
    </row>
    <row r="30" spans="1:11" ht="20" x14ac:dyDescent="0.35">
      <c r="A30" s="15">
        <v>1</v>
      </c>
      <c r="B30" s="15" t="s">
        <v>35</v>
      </c>
      <c r="C30" s="15" t="s">
        <v>21</v>
      </c>
      <c r="D30" s="15" t="s">
        <v>36</v>
      </c>
      <c r="E30" s="15" t="s">
        <v>126</v>
      </c>
      <c r="F30" s="16">
        <v>6875</v>
      </c>
      <c r="G30" s="16">
        <v>9625</v>
      </c>
      <c r="H30" s="17">
        <v>4</v>
      </c>
      <c r="I30" s="16">
        <v>0</v>
      </c>
      <c r="J30" s="16">
        <v>0</v>
      </c>
      <c r="K30" s="16">
        <v>100</v>
      </c>
    </row>
    <row r="31" spans="1:11" ht="20" x14ac:dyDescent="0.35">
      <c r="A31" s="15">
        <v>1</v>
      </c>
      <c r="B31" s="15" t="s">
        <v>37</v>
      </c>
      <c r="C31" s="15" t="s">
        <v>21</v>
      </c>
      <c r="D31" s="15" t="s">
        <v>38</v>
      </c>
      <c r="E31" s="15" t="s">
        <v>126</v>
      </c>
      <c r="F31" s="16">
        <v>5000</v>
      </c>
      <c r="G31" s="16">
        <v>7000</v>
      </c>
      <c r="H31" s="17">
        <v>3</v>
      </c>
      <c r="I31" s="16">
        <v>0</v>
      </c>
      <c r="J31" s="16">
        <v>0</v>
      </c>
      <c r="K31" s="16">
        <v>0</v>
      </c>
    </row>
    <row r="32" spans="1:11" ht="20" x14ac:dyDescent="0.35">
      <c r="A32" s="15">
        <v>1</v>
      </c>
      <c r="B32" s="15" t="s">
        <v>39</v>
      </c>
      <c r="C32" s="15" t="s">
        <v>21</v>
      </c>
      <c r="D32" s="15" t="s">
        <v>40</v>
      </c>
      <c r="E32" s="15" t="s">
        <v>126</v>
      </c>
      <c r="F32" s="16">
        <v>11250</v>
      </c>
      <c r="G32" s="16">
        <v>15749.999999999998</v>
      </c>
      <c r="H32" s="17">
        <v>6</v>
      </c>
      <c r="I32" s="16">
        <v>50</v>
      </c>
      <c r="J32" s="16">
        <v>0</v>
      </c>
      <c r="K32" s="16">
        <v>100</v>
      </c>
    </row>
    <row r="33" spans="1:12" ht="40" x14ac:dyDescent="0.35">
      <c r="A33" s="15">
        <v>1</v>
      </c>
      <c r="B33" s="15" t="s">
        <v>41</v>
      </c>
      <c r="C33" s="15" t="s">
        <v>21</v>
      </c>
      <c r="D33" s="15" t="s">
        <v>42</v>
      </c>
      <c r="E33" s="15" t="s">
        <v>126</v>
      </c>
      <c r="F33" s="16">
        <v>10625</v>
      </c>
      <c r="G33" s="16">
        <v>14874.999999999998</v>
      </c>
      <c r="H33" s="17">
        <v>6</v>
      </c>
      <c r="I33" s="16">
        <v>0</v>
      </c>
      <c r="J33" s="16">
        <v>0</v>
      </c>
      <c r="K33" s="16">
        <v>150</v>
      </c>
    </row>
    <row r="34" spans="1:12" ht="20" x14ac:dyDescent="0.35">
      <c r="A34" s="15">
        <v>1</v>
      </c>
      <c r="B34" s="15" t="s">
        <v>43</v>
      </c>
      <c r="C34" s="15" t="s">
        <v>21</v>
      </c>
      <c r="D34" s="15" t="s">
        <v>44</v>
      </c>
      <c r="E34" s="15" t="s">
        <v>126</v>
      </c>
      <c r="F34" s="16">
        <v>10625</v>
      </c>
      <c r="G34" s="16">
        <v>14874.999999999998</v>
      </c>
      <c r="H34" s="17">
        <v>6</v>
      </c>
      <c r="I34" s="16">
        <v>0</v>
      </c>
      <c r="J34" s="16">
        <v>2000</v>
      </c>
      <c r="K34" s="16">
        <v>100</v>
      </c>
    </row>
    <row r="35" spans="1:12" ht="20" x14ac:dyDescent="0.35">
      <c r="A35" s="15">
        <v>1</v>
      </c>
      <c r="B35" s="15" t="s">
        <v>45</v>
      </c>
      <c r="C35" s="15" t="s">
        <v>21</v>
      </c>
      <c r="D35" s="15" t="s">
        <v>46</v>
      </c>
      <c r="E35" s="15" t="s">
        <v>126</v>
      </c>
      <c r="F35" s="16">
        <v>18125</v>
      </c>
      <c r="G35" s="16">
        <v>25375</v>
      </c>
      <c r="H35" s="17">
        <v>10</v>
      </c>
      <c r="I35" s="16">
        <v>0</v>
      </c>
      <c r="J35" s="16">
        <v>0</v>
      </c>
      <c r="K35" s="16">
        <v>200</v>
      </c>
    </row>
    <row r="36" spans="1:12" ht="20" x14ac:dyDescent="0.35">
      <c r="A36" s="15">
        <v>1</v>
      </c>
      <c r="B36" s="15" t="s">
        <v>47</v>
      </c>
      <c r="C36" s="15" t="s">
        <v>48</v>
      </c>
      <c r="D36" s="15" t="s">
        <v>49</v>
      </c>
      <c r="E36" s="15" t="s">
        <v>138</v>
      </c>
      <c r="F36" s="16">
        <v>22500</v>
      </c>
      <c r="G36" s="16">
        <v>31499.999999999996</v>
      </c>
      <c r="H36" s="17">
        <v>10</v>
      </c>
      <c r="I36" s="16">
        <v>0</v>
      </c>
      <c r="J36" s="16">
        <v>0</v>
      </c>
      <c r="K36" s="16">
        <v>300</v>
      </c>
    </row>
    <row r="37" spans="1:12" ht="20" x14ac:dyDescent="0.35">
      <c r="A37" s="15">
        <v>1</v>
      </c>
      <c r="B37" s="15" t="s">
        <v>50</v>
      </c>
      <c r="C37" s="15" t="s">
        <v>48</v>
      </c>
      <c r="D37" s="15" t="s">
        <v>51</v>
      </c>
      <c r="E37" s="15" t="s">
        <v>138</v>
      </c>
      <c r="F37" s="16">
        <v>18750</v>
      </c>
      <c r="G37" s="16">
        <v>26250</v>
      </c>
      <c r="H37" s="17">
        <v>9</v>
      </c>
      <c r="I37" s="16">
        <v>200</v>
      </c>
      <c r="J37" s="16">
        <v>6000</v>
      </c>
      <c r="K37" s="16">
        <v>200</v>
      </c>
    </row>
    <row r="38" spans="1:12" ht="20" x14ac:dyDescent="0.35">
      <c r="A38" s="15">
        <v>1</v>
      </c>
      <c r="B38" s="15" t="s">
        <v>52</v>
      </c>
      <c r="C38" s="15" t="s">
        <v>48</v>
      </c>
      <c r="D38" s="15" t="s">
        <v>53</v>
      </c>
      <c r="E38" s="15" t="s">
        <v>138</v>
      </c>
      <c r="F38" s="16">
        <v>26250</v>
      </c>
      <c r="G38" s="16">
        <v>36750</v>
      </c>
      <c r="H38" s="17">
        <v>12</v>
      </c>
      <c r="I38" s="16">
        <v>300</v>
      </c>
      <c r="J38" s="16">
        <v>0</v>
      </c>
      <c r="K38" s="16">
        <v>250</v>
      </c>
    </row>
    <row r="39" spans="1:12" ht="20" x14ac:dyDescent="0.35">
      <c r="A39" s="15">
        <v>1</v>
      </c>
      <c r="B39" s="15" t="s">
        <v>54</v>
      </c>
      <c r="C39" s="15" t="s">
        <v>48</v>
      </c>
      <c r="D39" s="15" t="s">
        <v>55</v>
      </c>
      <c r="E39" s="15" t="s">
        <v>138</v>
      </c>
      <c r="F39" s="16">
        <v>14375</v>
      </c>
      <c r="G39" s="16">
        <v>20125</v>
      </c>
      <c r="H39" s="17">
        <v>7</v>
      </c>
      <c r="I39" s="16">
        <v>0</v>
      </c>
      <c r="J39" s="16">
        <v>0</v>
      </c>
      <c r="K39" s="16">
        <v>150</v>
      </c>
    </row>
    <row r="40" spans="1:12" ht="20" x14ac:dyDescent="0.35">
      <c r="A40" s="15">
        <v>1</v>
      </c>
      <c r="B40" s="15" t="s">
        <v>56</v>
      </c>
      <c r="C40" s="15" t="s">
        <v>48</v>
      </c>
      <c r="D40" s="15" t="s">
        <v>57</v>
      </c>
      <c r="E40" s="15" t="s">
        <v>138</v>
      </c>
      <c r="F40" s="16">
        <v>18125</v>
      </c>
      <c r="G40" s="16">
        <v>25375</v>
      </c>
      <c r="H40" s="17">
        <v>9</v>
      </c>
      <c r="I40" s="16">
        <v>0</v>
      </c>
      <c r="J40" s="16">
        <v>0</v>
      </c>
      <c r="K40" s="16">
        <v>200</v>
      </c>
    </row>
    <row r="41" spans="1:12" ht="20" x14ac:dyDescent="0.35">
      <c r="A41" s="15">
        <v>1</v>
      </c>
      <c r="B41" s="15" t="s">
        <v>58</v>
      </c>
      <c r="C41" s="15" t="s">
        <v>48</v>
      </c>
      <c r="D41" s="15" t="s">
        <v>59</v>
      </c>
      <c r="E41" s="15" t="s">
        <v>138</v>
      </c>
      <c r="F41" s="16">
        <v>28750</v>
      </c>
      <c r="G41" s="16">
        <v>40250</v>
      </c>
      <c r="H41" s="17">
        <v>14</v>
      </c>
      <c r="I41" s="16">
        <v>150</v>
      </c>
      <c r="J41" s="16">
        <v>9000</v>
      </c>
      <c r="K41" s="16">
        <v>300</v>
      </c>
    </row>
    <row r="42" spans="1:12" ht="20" x14ac:dyDescent="0.35">
      <c r="A42" s="29">
        <v>1</v>
      </c>
      <c r="B42" s="28" t="s">
        <v>177</v>
      </c>
      <c r="C42" s="28" t="s">
        <v>48</v>
      </c>
      <c r="D42" s="28" t="s">
        <v>178</v>
      </c>
      <c r="E42" s="29" t="s">
        <v>138</v>
      </c>
      <c r="F42" s="30">
        <v>30000</v>
      </c>
      <c r="G42" s="30">
        <f>F42*1.4</f>
        <v>42000</v>
      </c>
      <c r="H42" s="31">
        <v>12</v>
      </c>
      <c r="I42" s="30">
        <v>350</v>
      </c>
      <c r="J42" s="30">
        <v>0</v>
      </c>
      <c r="K42" s="30">
        <v>600</v>
      </c>
      <c r="L42" s="32"/>
    </row>
    <row r="43" spans="1:12" ht="20" x14ac:dyDescent="0.35">
      <c r="A43" s="29">
        <v>1</v>
      </c>
      <c r="B43" s="28" t="s">
        <v>179</v>
      </c>
      <c r="C43" s="28" t="s">
        <v>180</v>
      </c>
      <c r="D43" s="28" t="s">
        <v>181</v>
      </c>
      <c r="E43" s="29" t="s">
        <v>138</v>
      </c>
      <c r="F43" s="30">
        <v>0</v>
      </c>
      <c r="G43" s="30">
        <f>F43*1.4</f>
        <v>0</v>
      </c>
      <c r="H43" s="31">
        <v>3</v>
      </c>
      <c r="I43" s="30">
        <v>0</v>
      </c>
      <c r="J43" s="30">
        <v>0</v>
      </c>
      <c r="K43" s="30">
        <v>0</v>
      </c>
      <c r="L43" s="32"/>
    </row>
    <row r="44" spans="1:12" ht="20" x14ac:dyDescent="0.35">
      <c r="A44" s="29">
        <v>1</v>
      </c>
      <c r="B44" s="28" t="s">
        <v>182</v>
      </c>
      <c r="C44" s="28" t="s">
        <v>183</v>
      </c>
      <c r="D44" s="28" t="s">
        <v>184</v>
      </c>
      <c r="E44" s="29" t="s">
        <v>138</v>
      </c>
      <c r="F44" s="30">
        <v>10000</v>
      </c>
      <c r="G44" s="30">
        <f>F44*1.4</f>
        <v>14000</v>
      </c>
      <c r="H44" s="31">
        <v>3</v>
      </c>
      <c r="I44" s="30">
        <v>80</v>
      </c>
      <c r="J44" s="30">
        <v>0</v>
      </c>
      <c r="K44" s="30">
        <v>150</v>
      </c>
      <c r="L44" s="32"/>
    </row>
    <row r="45" spans="1:12" ht="20" x14ac:dyDescent="0.35">
      <c r="A45" s="29">
        <v>1</v>
      </c>
      <c r="B45" s="28" t="s">
        <v>185</v>
      </c>
      <c r="C45" s="28" t="s">
        <v>183</v>
      </c>
      <c r="D45" s="28" t="s">
        <v>186</v>
      </c>
      <c r="E45" s="29" t="s">
        <v>138</v>
      </c>
      <c r="F45" s="30">
        <v>10000</v>
      </c>
      <c r="G45" s="30">
        <f>F45*1.4</f>
        <v>14000</v>
      </c>
      <c r="H45" s="31">
        <v>3</v>
      </c>
      <c r="I45" s="30">
        <v>80</v>
      </c>
      <c r="J45" s="30">
        <v>0</v>
      </c>
      <c r="K45" s="30">
        <v>150</v>
      </c>
      <c r="L45" s="32"/>
    </row>
    <row r="46" spans="1:12" ht="20" x14ac:dyDescent="0.35">
      <c r="A46" s="29">
        <v>1</v>
      </c>
      <c r="B46" s="28" t="s">
        <v>187</v>
      </c>
      <c r="C46" s="28" t="s">
        <v>183</v>
      </c>
      <c r="D46" s="28" t="s">
        <v>188</v>
      </c>
      <c r="E46" s="29" t="s">
        <v>138</v>
      </c>
      <c r="F46" s="30">
        <v>10000</v>
      </c>
      <c r="G46" s="30">
        <f>F46*1.4</f>
        <v>14000</v>
      </c>
      <c r="H46" s="31">
        <v>3</v>
      </c>
      <c r="I46" s="30">
        <v>80</v>
      </c>
      <c r="J46" s="30">
        <v>0</v>
      </c>
      <c r="K46" s="30">
        <v>150</v>
      </c>
      <c r="L46" s="32"/>
    </row>
    <row r="47" spans="1:12" ht="20" x14ac:dyDescent="0.35">
      <c r="A47" s="29">
        <v>1</v>
      </c>
      <c r="B47" s="28" t="s">
        <v>189</v>
      </c>
      <c r="C47" s="28" t="s">
        <v>183</v>
      </c>
      <c r="D47" s="28" t="s">
        <v>190</v>
      </c>
      <c r="E47" s="29" t="s">
        <v>138</v>
      </c>
      <c r="F47" s="30">
        <v>10000</v>
      </c>
      <c r="G47" s="30">
        <f>F47*1.4</f>
        <v>14000</v>
      </c>
      <c r="H47" s="31">
        <v>3</v>
      </c>
      <c r="I47" s="30">
        <v>80</v>
      </c>
      <c r="J47" s="30">
        <v>0</v>
      </c>
      <c r="K47" s="30">
        <v>150</v>
      </c>
      <c r="L47" s="32"/>
    </row>
    <row r="48" spans="1:12" ht="20" x14ac:dyDescent="0.35">
      <c r="A48" s="29">
        <v>1</v>
      </c>
      <c r="B48" s="28" t="s">
        <v>191</v>
      </c>
      <c r="C48" s="28" t="s">
        <v>183</v>
      </c>
      <c r="D48" s="28" t="s">
        <v>192</v>
      </c>
      <c r="E48" s="29" t="s">
        <v>138</v>
      </c>
      <c r="F48" s="30">
        <v>10000</v>
      </c>
      <c r="G48" s="30">
        <f>F48*1.4</f>
        <v>14000</v>
      </c>
      <c r="H48" s="31">
        <v>3</v>
      </c>
      <c r="I48" s="30">
        <v>80</v>
      </c>
      <c r="J48" s="30">
        <v>0</v>
      </c>
      <c r="K48" s="30">
        <v>150</v>
      </c>
      <c r="L48" s="32"/>
    </row>
    <row r="49" spans="1:12" ht="40" x14ac:dyDescent="0.35">
      <c r="A49" s="29">
        <v>1</v>
      </c>
      <c r="B49" s="28" t="s">
        <v>193</v>
      </c>
      <c r="C49" s="28" t="s">
        <v>48</v>
      </c>
      <c r="D49" s="28" t="s">
        <v>194</v>
      </c>
      <c r="E49" s="29" t="s">
        <v>138</v>
      </c>
      <c r="F49" s="30">
        <v>25000</v>
      </c>
      <c r="G49" s="30">
        <f>F49*1.4</f>
        <v>35000</v>
      </c>
      <c r="H49" s="31">
        <v>12</v>
      </c>
      <c r="I49" s="30">
        <v>300</v>
      </c>
      <c r="J49" s="30">
        <v>0</v>
      </c>
      <c r="K49" s="30">
        <v>500</v>
      </c>
      <c r="L49" s="32"/>
    </row>
    <row r="50" spans="1:12" ht="40" x14ac:dyDescent="0.35">
      <c r="A50" s="29">
        <v>1</v>
      </c>
      <c r="B50" s="28" t="s">
        <v>195</v>
      </c>
      <c r="C50" s="28" t="s">
        <v>48</v>
      </c>
      <c r="D50" s="28" t="s">
        <v>196</v>
      </c>
      <c r="E50" s="29" t="s">
        <v>138</v>
      </c>
      <c r="F50" s="30">
        <v>0</v>
      </c>
      <c r="G50" s="30">
        <f>F50*1.4</f>
        <v>0</v>
      </c>
      <c r="H50" s="31">
        <v>0</v>
      </c>
      <c r="I50" s="30">
        <v>0</v>
      </c>
      <c r="J50" s="30">
        <v>0</v>
      </c>
      <c r="K50" s="30">
        <v>0</v>
      </c>
      <c r="L50" s="32"/>
    </row>
    <row r="52" spans="1:12" ht="21.5" x14ac:dyDescent="0.35">
      <c r="A52" s="12"/>
      <c r="B52" s="12"/>
      <c r="C52" s="12"/>
      <c r="D52" s="12" t="s">
        <v>127</v>
      </c>
      <c r="E52" s="12"/>
      <c r="F52" s="13">
        <f>SUMPRODUCT($A$4:$A$50,F4:F50)</f>
        <v>585375</v>
      </c>
      <c r="G52" s="13">
        <f>SUMPRODUCT($A$4:$A$50,G4:G50)</f>
        <v>836875</v>
      </c>
      <c r="H52" s="14"/>
      <c r="I52" s="13">
        <f>SUMPRODUCT($A$4:$A$50,I4:I50)</f>
        <v>2600</v>
      </c>
      <c r="J52" s="13">
        <f>SUMPRODUCT($A$4:$A$50,J4:J50)</f>
        <v>30500</v>
      </c>
      <c r="K52" s="13">
        <f>SUMPRODUCT($A$4:$A$50,K4:K50)</f>
        <v>6800</v>
      </c>
    </row>
    <row r="56" spans="1:12" ht="20" x14ac:dyDescent="0.85">
      <c r="A56" s="27" t="s">
        <v>128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2" ht="20" x14ac:dyDescent="0.85">
      <c r="A57" s="26" t="s">
        <v>129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2" ht="20" x14ac:dyDescent="0.85">
      <c r="A58" s="26" t="s">
        <v>130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2" ht="20" x14ac:dyDescent="0.85">
      <c r="A59" s="26" t="s">
        <v>136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2" ht="20" x14ac:dyDescent="0.85">
      <c r="A60" s="26" t="s">
        <v>137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</row>
  </sheetData>
  <mergeCells count="6">
    <mergeCell ref="A1:K1"/>
    <mergeCell ref="A57:K57"/>
    <mergeCell ref="A59:K59"/>
    <mergeCell ref="A60:K60"/>
    <mergeCell ref="A56:K56"/>
    <mergeCell ref="A58:K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D09F-37A5-4032-912F-305F9AAF8AC5}">
  <dimension ref="A1"/>
  <sheetViews>
    <sheetView topLeftCell="A16" workbookViewId="0">
      <selection activeCell="R23" sqref="R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FCF3-3BC3-4569-8DAD-61F3DD07084D}">
  <dimension ref="A1"/>
  <sheetViews>
    <sheetView topLeftCell="R1" workbookViewId="0">
      <selection activeCell="AI14" sqref="AI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EDF2-1A93-4A5A-BF7E-806E74B3B847}">
  <dimension ref="A1"/>
  <sheetViews>
    <sheetView tabSelected="1" workbookViewId="0">
      <selection activeCell="P85" sqref="P8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Recurring Costs</vt:lpstr>
      <vt:lpstr>Shared Hardware</vt:lpstr>
      <vt:lpstr>Features Cost Calculator</vt:lpstr>
      <vt:lpstr>ST-Components</vt:lpstr>
      <vt:lpstr>IA-Components</vt:lpstr>
      <vt:lpstr>Delivery Timelines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Guest Experience OS — A La Carte Commercials</dc:title>
  <dc:subject>Per-feature pricing + timeline normalized to $3,200/month engineer rate</dc:subject>
  <dc:creator>Sashank Palaparthi</dc:creator>
  <cp:lastModifiedBy>Ashok Dongari</cp:lastModifiedBy>
  <dcterms:created xsi:type="dcterms:W3CDTF">2026-05-25T00:00:00Z</dcterms:created>
  <dcterms:modified xsi:type="dcterms:W3CDTF">2026-06-05T02:21:53Z</dcterms:modified>
</cp:coreProperties>
</file>